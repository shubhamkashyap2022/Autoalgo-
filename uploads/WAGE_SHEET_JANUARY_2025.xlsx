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filterPrivacy="1"/>
  <xr:revisionPtr revIDLastSave="0" documentId="13_ncr:1_{4D3EB909-5B3C-3446-B039-6EA61EF44544}" xr6:coauthVersionLast="47" xr6:coauthVersionMax="47" xr10:uidLastSave="{00000000-0000-0000-0000-000000000000}"/>
  <bookViews>
    <workbookView xWindow="0" yWindow="740" windowWidth="29400" windowHeight="16980" xr2:uid="{00000000-000D-0000-FFFF-FFFF00000000}"/>
  </bookViews>
  <sheets>
    <sheet name="NOV202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2" i="4" l="1"/>
  <c r="H22" i="4" s="1"/>
  <c r="L21" i="4"/>
  <c r="F14" i="4"/>
  <c r="G14" i="4" s="1"/>
  <c r="F15" i="4"/>
  <c r="F16" i="4"/>
  <c r="F17" i="4"/>
  <c r="K17" i="4" s="1"/>
  <c r="F18" i="4"/>
  <c r="K18" i="4" s="1"/>
  <c r="F19" i="4"/>
  <c r="F20" i="4"/>
  <c r="L20" i="4" s="1"/>
  <c r="F21" i="4"/>
  <c r="K21" i="4" s="1"/>
  <c r="F13" i="4"/>
  <c r="I13" i="4" s="1"/>
  <c r="F10" i="4"/>
  <c r="L10" i="4" s="1"/>
  <c r="F11" i="4"/>
  <c r="L11" i="4" s="1"/>
  <c r="F12" i="4"/>
  <c r="L12" i="4" s="1"/>
  <c r="F9" i="4"/>
  <c r="J14" i="4" l="1"/>
  <c r="G22" i="4"/>
  <c r="J22" i="4" s="1"/>
  <c r="J13" i="4"/>
  <c r="H21" i="4"/>
  <c r="L22" i="4"/>
  <c r="J18" i="4"/>
  <c r="G19" i="4"/>
  <c r="K19" i="4"/>
  <c r="H9" i="4"/>
  <c r="I19" i="4"/>
  <c r="G9" i="4"/>
  <c r="J9" i="4" s="1"/>
  <c r="H19" i="4"/>
  <c r="I17" i="4"/>
  <c r="J17" i="4" s="1"/>
  <c r="L19" i="4"/>
  <c r="H17" i="4"/>
  <c r="I14" i="4"/>
  <c r="L17" i="4"/>
  <c r="H14" i="4"/>
  <c r="L14" i="4"/>
  <c r="L9" i="4"/>
  <c r="G21" i="4"/>
  <c r="J21" i="4" s="1"/>
  <c r="K9" i="4"/>
  <c r="I9" i="4"/>
  <c r="G17" i="4"/>
  <c r="K14" i="4"/>
  <c r="K22" i="4"/>
  <c r="K20" i="4"/>
  <c r="H20" i="4"/>
  <c r="I20" i="4"/>
  <c r="G20" i="4"/>
  <c r="J20" i="4" s="1"/>
  <c r="I22" i="4"/>
  <c r="I21" i="4"/>
  <c r="L18" i="4"/>
  <c r="H18" i="4"/>
  <c r="G18" i="4"/>
  <c r="I18" i="4"/>
  <c r="L16" i="4"/>
  <c r="H16" i="4"/>
  <c r="K16" i="4"/>
  <c r="G16" i="4"/>
  <c r="J16" i="4" s="1"/>
  <c r="I16" i="4"/>
  <c r="K15" i="4"/>
  <c r="G15" i="4"/>
  <c r="J15" i="4" s="1"/>
  <c r="H15" i="4"/>
  <c r="I15" i="4"/>
  <c r="L15" i="4"/>
  <c r="H13" i="4"/>
  <c r="G13" i="4"/>
  <c r="L13" i="4"/>
  <c r="K13" i="4"/>
  <c r="H10" i="4"/>
  <c r="H12" i="4"/>
  <c r="H11" i="4"/>
  <c r="M14" i="4" l="1"/>
  <c r="M21" i="4"/>
  <c r="J19" i="4"/>
  <c r="M19" i="4" s="1"/>
  <c r="M15" i="4"/>
  <c r="M16" i="4"/>
  <c r="M17" i="4"/>
  <c r="M22" i="4"/>
  <c r="M20" i="4"/>
  <c r="M18" i="4"/>
  <c r="M13" i="4"/>
  <c r="K12" i="4"/>
  <c r="G10" i="4"/>
  <c r="G11" i="4" l="1"/>
  <c r="K11" i="4"/>
  <c r="I11" i="4"/>
  <c r="I10" i="4"/>
  <c r="J10" i="4" s="1"/>
  <c r="G12" i="4"/>
  <c r="J12" i="4" s="1"/>
  <c r="K10" i="4"/>
  <c r="I12" i="4"/>
  <c r="J11" i="4" l="1"/>
  <c r="M10" i="4"/>
  <c r="M11" i="4"/>
  <c r="M12" i="4"/>
  <c r="M9" i="4"/>
</calcChain>
</file>

<file path=xl/sharedStrings.xml><?xml version="1.0" encoding="utf-8"?>
<sst xmlns="http://schemas.openxmlformats.org/spreadsheetml/2006/main" count="47" uniqueCount="37">
  <si>
    <t>Register of wages</t>
  </si>
  <si>
    <t>Sr.No</t>
  </si>
  <si>
    <t>Name  of workman</t>
  </si>
  <si>
    <t>Des.</t>
  </si>
  <si>
    <t>Daily rate of wages/ pice rate(As on 01.04.2024)</t>
  </si>
  <si>
    <t>Basic Wages</t>
  </si>
  <si>
    <t>LEAVE @ 5% OF BASIC</t>
  </si>
  <si>
    <t>BONUS-8.33% OF BASIC</t>
  </si>
  <si>
    <t xml:space="preserve">Total </t>
  </si>
  <si>
    <t>PF@12% Ded. OF BASIC</t>
  </si>
  <si>
    <t xml:space="preserve">Net amount Paid </t>
  </si>
  <si>
    <t>SW</t>
  </si>
  <si>
    <t>Name and address of contractor:M/s VINAYAKA CONSTRUCTION</t>
  </si>
  <si>
    <t>CHANDAN KUMAR</t>
  </si>
  <si>
    <t xml:space="preserve">      USW</t>
  </si>
  <si>
    <t>SSW</t>
  </si>
  <si>
    <t>Name and address of establishment In/under which contract Is carried on:  ER-1 HQs PATNA</t>
  </si>
  <si>
    <t>Nature and location of work : Annual contract for house keeping &amp; sanitation ,civil maintainence and horticultre work at office cum resindetial complex ER-1</t>
  </si>
  <si>
    <t xml:space="preserve">PO.NO-4600075622-139-1041 </t>
  </si>
  <si>
    <t>MUKESH KUMAR</t>
  </si>
  <si>
    <t>ROHIT KUMAR</t>
  </si>
  <si>
    <t>RAJIV RANJAN</t>
  </si>
  <si>
    <t>SUNIL PASWAN</t>
  </si>
  <si>
    <t>No of days worked MAY-2024</t>
  </si>
  <si>
    <t>RB  @ 4.92% OF BASIC</t>
  </si>
  <si>
    <t>ESIC 0.75%</t>
  </si>
  <si>
    <t>RISHU KANT KUMAR</t>
  </si>
  <si>
    <t>USW</t>
  </si>
  <si>
    <t>DINESH KUMAR SINGH</t>
  </si>
  <si>
    <t>UMESH PRASAD</t>
  </si>
  <si>
    <t>DHIRENDAR KUMAR</t>
  </si>
  <si>
    <t>OM KUMAR</t>
  </si>
  <si>
    <t>ARUN KUMAR</t>
  </si>
  <si>
    <t>PANKAJ KUMAR</t>
  </si>
  <si>
    <t>RAJIV KUMAR PASWAN(BHARTI)</t>
  </si>
  <si>
    <t xml:space="preserve">Wage Period: 01-01-2025 to 31-01-2025                                                                  </t>
  </si>
  <si>
    <t>SIDDHARTH PIRYDARSHI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</si>
</sst>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color rgb="FF000000"/>
      <name val="Calibri"/>
      <family val="2"/>
    </font>
    <font>
      <b/>
      <sz val="12"/>
      <name val="Arial"/>
      <family val="2"/>
    </font>
    <font>
      <sz val="12"/>
      <color rgb="FF000000"/>
      <name val="Calibri"/>
      <family val="2"/>
    </font>
    <font>
      <b/>
      <sz val="18"/>
      <name val="Arial"/>
      <family val="2"/>
    </font>
    <font>
      <sz val="18"/>
      <color rgb="FF000000"/>
      <name val="Calibri"/>
      <family val="2"/>
    </font>
    <font>
      <sz val="11"/>
      <name val="Arial"/>
      <family val="2"/>
    </font>
    <font>
      <sz val="11"/>
      <name val="Arial"/>
      <family val="2"/>
    </font>
    <font>
      <u/>
      <sz val="11"/>
      <color rgb="FF0000FF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rgb="FF000000"/>
      <name val="Arial MT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7" fillId="0" borderId="1" xfId="0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textRotation="90" shrinkToFit="1"/>
    </xf>
    <xf numFmtId="0" fontId="8" fillId="0" borderId="1" xfId="0" applyFont="1" applyBorder="1" applyAlignment="1">
      <alignment horizontal="center" vertical="center" textRotation="90" shrinkToFit="1"/>
    </xf>
    <xf numFmtId="0" fontId="9" fillId="0" borderId="1" xfId="0" applyFont="1" applyBorder="1" applyAlignment="1">
      <alignment horizontal="center" vertical="center" textRotation="90" shrinkToFit="1"/>
    </xf>
    <xf numFmtId="0" fontId="10" fillId="0" borderId="1" xfId="0" applyFont="1" applyBorder="1" applyAlignment="1">
      <alignment horizontal="center" vertical="center" textRotation="90" shrinkToFi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shrinkToFit="1"/>
    </xf>
    <xf numFmtId="0" fontId="0" fillId="0" borderId="1" xfId="0" applyBorder="1"/>
    <xf numFmtId="0" fontId="0" fillId="0" borderId="1" xfId="0" applyBorder="1" applyAlignment="1">
      <alignment horizontal="center" vertical="top"/>
    </xf>
    <xf numFmtId="1" fontId="0" fillId="0" borderId="0" xfId="0" applyNumberFormat="1"/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17" fontId="5" fillId="0" borderId="1" xfId="0" applyNumberFormat="1" applyFont="1" applyBorder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23"/>
  <sheetViews>
    <sheetView tabSelected="1" zoomScale="90" zoomScaleNormal="90" workbookViewId="0">
      <selection activeCell="I8" sqref="I1:I1048576"/>
    </sheetView>
  </sheetViews>
  <sheetFormatPr baseColWidth="10" defaultColWidth="8.83203125" defaultRowHeight="15"/>
  <cols>
    <col min="2" max="2" width="26.5" customWidth="1"/>
  </cols>
  <sheetData>
    <row r="1" spans="1:13" ht="19">
      <c r="A1" s="20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16">
      <c r="A2" s="21" t="s">
        <v>16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9">
      <c r="A3" s="23" t="s">
        <v>17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ht="18" customHeight="1">
      <c r="A4" s="25" t="s">
        <v>18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7"/>
    </row>
    <row r="5" spans="1:13" ht="18">
      <c r="A5" s="28" t="s">
        <v>35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</row>
    <row r="6" spans="1:13" ht="24">
      <c r="A6" s="29">
        <v>45658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3" ht="19">
      <c r="A7" s="18" t="s">
        <v>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</row>
    <row r="8" spans="1:13" ht="138">
      <c r="A8" s="1" t="s">
        <v>1</v>
      </c>
      <c r="B8" s="10" t="s">
        <v>2</v>
      </c>
      <c r="C8" s="2" t="s">
        <v>3</v>
      </c>
      <c r="D8" s="15" t="s">
        <v>23</v>
      </c>
      <c r="E8" s="3" t="s">
        <v>4</v>
      </c>
      <c r="F8" s="4" t="s">
        <v>5</v>
      </c>
      <c r="G8" s="4" t="s">
        <v>6</v>
      </c>
      <c r="H8" s="5" t="s">
        <v>24</v>
      </c>
      <c r="I8" s="6" t="s">
        <v>7</v>
      </c>
      <c r="J8" s="1" t="s">
        <v>8</v>
      </c>
      <c r="K8" s="7" t="s">
        <v>9</v>
      </c>
      <c r="L8" s="7" t="s">
        <v>25</v>
      </c>
      <c r="M8" s="3" t="s">
        <v>10</v>
      </c>
    </row>
    <row r="9" spans="1:13" ht="16">
      <c r="A9" s="8">
        <v>1</v>
      </c>
      <c r="B9" s="11" t="s">
        <v>19</v>
      </c>
      <c r="C9" s="14" t="s">
        <v>15</v>
      </c>
      <c r="D9" s="12">
        <v>17</v>
      </c>
      <c r="E9" s="17">
        <v>739</v>
      </c>
      <c r="F9" s="9">
        <f>E9*D9</f>
        <v>12563</v>
      </c>
      <c r="G9" s="9">
        <f>5%*F9</f>
        <v>628.15000000000009</v>
      </c>
      <c r="H9" s="9">
        <f>F9*4.92%</f>
        <v>618.09960000000001</v>
      </c>
      <c r="I9" s="9">
        <f>8.33%*F9</f>
        <v>1046.4979000000001</v>
      </c>
      <c r="J9" s="9">
        <f>F9+G9+H9+I9</f>
        <v>14855.747499999999</v>
      </c>
      <c r="K9" s="9">
        <f>F9*12%</f>
        <v>1507.56</v>
      </c>
      <c r="L9" s="9">
        <f>0.75%*F9</f>
        <v>94.222499999999997</v>
      </c>
      <c r="M9" s="16">
        <f>J9-K9-L9</f>
        <v>13253.965</v>
      </c>
    </row>
    <row r="10" spans="1:13" ht="16">
      <c r="A10" s="8">
        <v>2</v>
      </c>
      <c r="B10" s="11" t="s">
        <v>26</v>
      </c>
      <c r="C10" s="14" t="s">
        <v>15</v>
      </c>
      <c r="D10" s="12">
        <v>23</v>
      </c>
      <c r="E10" s="17">
        <v>739</v>
      </c>
      <c r="F10" s="9">
        <f t="shared" ref="F10:F12" si="0">E10*D10</f>
        <v>16997</v>
      </c>
      <c r="G10" s="9">
        <f>5%*F10</f>
        <v>849.85</v>
      </c>
      <c r="H10" s="9">
        <f t="shared" ref="H10:H22" si="1">F10*4.92%</f>
        <v>836.25239999999997</v>
      </c>
      <c r="I10" s="9">
        <f>8.33%*F10</f>
        <v>1415.8500999999999</v>
      </c>
      <c r="J10" s="9">
        <f>F10+G10+H10+I10</f>
        <v>20098.952499999999</v>
      </c>
      <c r="K10" s="9">
        <f>F10*12%</f>
        <v>2039.6399999999999</v>
      </c>
      <c r="L10" s="9">
        <f>0.75%*F10</f>
        <v>127.47749999999999</v>
      </c>
      <c r="M10" s="16">
        <f>J10-K10-L10</f>
        <v>17931.834999999999</v>
      </c>
    </row>
    <row r="11" spans="1:13" ht="16">
      <c r="A11" s="8">
        <v>3</v>
      </c>
      <c r="B11" s="11" t="s">
        <v>21</v>
      </c>
      <c r="C11" s="14" t="s">
        <v>14</v>
      </c>
      <c r="D11" s="12">
        <v>26</v>
      </c>
      <c r="E11" s="17">
        <v>655</v>
      </c>
      <c r="F11" s="9">
        <f t="shared" si="0"/>
        <v>17030</v>
      </c>
      <c r="G11" s="9">
        <f>5%*F11</f>
        <v>851.5</v>
      </c>
      <c r="H11" s="9">
        <f t="shared" si="1"/>
        <v>837.87599999999998</v>
      </c>
      <c r="I11" s="9">
        <f>8.33%*F11</f>
        <v>1418.5989999999999</v>
      </c>
      <c r="J11" s="9">
        <f>F11+G11+H11+I11</f>
        <v>20137.974999999999</v>
      </c>
      <c r="K11" s="9">
        <f>F11*12%</f>
        <v>2043.6</v>
      </c>
      <c r="L11" s="9">
        <f>0.75%*F11</f>
        <v>127.72499999999999</v>
      </c>
      <c r="M11" s="16">
        <f t="shared" ref="M11:M22" si="2">J11-K11-L11</f>
        <v>17966.650000000001</v>
      </c>
    </row>
    <row r="12" spans="1:13" ht="16">
      <c r="A12" s="8">
        <v>4</v>
      </c>
      <c r="B12" s="11" t="s">
        <v>22</v>
      </c>
      <c r="C12" s="14" t="s">
        <v>14</v>
      </c>
      <c r="D12" s="12">
        <v>26</v>
      </c>
      <c r="E12" s="17">
        <v>655</v>
      </c>
      <c r="F12" s="9">
        <f t="shared" si="0"/>
        <v>17030</v>
      </c>
      <c r="G12" s="9">
        <f>5%*F12</f>
        <v>851.5</v>
      </c>
      <c r="H12" s="9">
        <f t="shared" si="1"/>
        <v>837.87599999999998</v>
      </c>
      <c r="I12" s="9">
        <f>8.33%*F12</f>
        <v>1418.5989999999999</v>
      </c>
      <c r="J12" s="9">
        <f>F12+G12+H12+I12</f>
        <v>20137.974999999999</v>
      </c>
      <c r="K12" s="9">
        <f>F12*12%</f>
        <v>2043.6</v>
      </c>
      <c r="L12" s="9">
        <f>0.75%*F12</f>
        <v>127.72499999999999</v>
      </c>
      <c r="M12" s="16">
        <f t="shared" si="2"/>
        <v>17966.650000000001</v>
      </c>
    </row>
    <row r="13" spans="1:13" ht="16">
      <c r="A13" s="8">
        <v>5</v>
      </c>
      <c r="B13" s="11" t="s">
        <v>13</v>
      </c>
      <c r="C13" s="14" t="s">
        <v>27</v>
      </c>
      <c r="D13" s="12">
        <v>18</v>
      </c>
      <c r="E13" s="17">
        <v>655</v>
      </c>
      <c r="F13" s="9">
        <f>E13*D13</f>
        <v>11790</v>
      </c>
      <c r="G13" s="9">
        <f>5%*F13</f>
        <v>589.5</v>
      </c>
      <c r="H13" s="9">
        <f t="shared" si="1"/>
        <v>580.06799999999998</v>
      </c>
      <c r="I13" s="9">
        <f>8.33%*F13</f>
        <v>982.10699999999997</v>
      </c>
      <c r="J13" s="9">
        <f>F13+G13+H13+I13</f>
        <v>13941.674999999999</v>
      </c>
      <c r="K13" s="9">
        <f>F13*12%</f>
        <v>1414.8</v>
      </c>
      <c r="L13" s="9">
        <f>0.75%*F13</f>
        <v>88.424999999999997</v>
      </c>
      <c r="M13" s="16">
        <f t="shared" si="2"/>
        <v>12438.45</v>
      </c>
    </row>
    <row r="14" spans="1:13" ht="16">
      <c r="A14" s="8">
        <v>6</v>
      </c>
      <c r="B14" s="11" t="s">
        <v>28</v>
      </c>
      <c r="C14" s="14" t="s">
        <v>27</v>
      </c>
      <c r="D14" s="12">
        <v>16</v>
      </c>
      <c r="E14" s="17">
        <v>655</v>
      </c>
      <c r="F14" s="9">
        <f t="shared" ref="F14:F22" si="3">E14*D14</f>
        <v>10480</v>
      </c>
      <c r="G14" s="9">
        <f t="shared" ref="G14:G22" si="4">5%*F14</f>
        <v>524</v>
      </c>
      <c r="H14" s="9">
        <f t="shared" si="1"/>
        <v>515.61599999999999</v>
      </c>
      <c r="I14" s="9">
        <f t="shared" ref="I14:I22" si="5">8.33%*F14</f>
        <v>872.98400000000004</v>
      </c>
      <c r="J14" s="9">
        <f>F14+G14+H14+I14</f>
        <v>12392.6</v>
      </c>
      <c r="K14" s="9">
        <f>F14*12%</f>
        <v>1257.5999999999999</v>
      </c>
      <c r="L14" s="9">
        <f>0.75%*F14</f>
        <v>78.599999999999994</v>
      </c>
      <c r="M14" s="16">
        <f t="shared" si="2"/>
        <v>11056.4</v>
      </c>
    </row>
    <row r="15" spans="1:13" ht="16">
      <c r="A15" s="8">
        <v>7</v>
      </c>
      <c r="B15" s="11" t="s">
        <v>29</v>
      </c>
      <c r="C15" s="14" t="s">
        <v>27</v>
      </c>
      <c r="D15" s="12">
        <v>16</v>
      </c>
      <c r="E15" s="17">
        <v>655</v>
      </c>
      <c r="F15" s="9">
        <f t="shared" si="3"/>
        <v>10480</v>
      </c>
      <c r="G15" s="9">
        <f t="shared" si="4"/>
        <v>524</v>
      </c>
      <c r="H15" s="9">
        <f t="shared" si="1"/>
        <v>515.61599999999999</v>
      </c>
      <c r="I15" s="9">
        <f t="shared" si="5"/>
        <v>872.98400000000004</v>
      </c>
      <c r="J15" s="9">
        <f>F15+G15+H15+I15</f>
        <v>12392.6</v>
      </c>
      <c r="K15" s="9">
        <f>F15*12%</f>
        <v>1257.5999999999999</v>
      </c>
      <c r="L15" s="9">
        <f>0.75%*F15</f>
        <v>78.599999999999994</v>
      </c>
      <c r="M15" s="16">
        <f t="shared" si="2"/>
        <v>11056.4</v>
      </c>
    </row>
    <row r="16" spans="1:13" ht="16">
      <c r="A16" s="8">
        <v>8</v>
      </c>
      <c r="B16" s="11" t="s">
        <v>30</v>
      </c>
      <c r="C16" s="14" t="s">
        <v>27</v>
      </c>
      <c r="D16" s="12">
        <v>18</v>
      </c>
      <c r="E16" s="17">
        <v>655</v>
      </c>
      <c r="F16" s="9">
        <f t="shared" si="3"/>
        <v>11790</v>
      </c>
      <c r="G16" s="9">
        <f t="shared" si="4"/>
        <v>589.5</v>
      </c>
      <c r="H16" s="9">
        <f t="shared" si="1"/>
        <v>580.06799999999998</v>
      </c>
      <c r="I16" s="9">
        <f t="shared" si="5"/>
        <v>982.10699999999997</v>
      </c>
      <c r="J16" s="9">
        <f>F16+G16+H16+I16</f>
        <v>13941.674999999999</v>
      </c>
      <c r="K16" s="9">
        <f>F16*12%</f>
        <v>1414.8</v>
      </c>
      <c r="L16" s="9">
        <f>0.75%*F16</f>
        <v>88.424999999999997</v>
      </c>
      <c r="M16" s="16">
        <f t="shared" si="2"/>
        <v>12438.45</v>
      </c>
    </row>
    <row r="17" spans="1:13" ht="16">
      <c r="A17" s="8">
        <v>9</v>
      </c>
      <c r="B17" s="11" t="s">
        <v>20</v>
      </c>
      <c r="C17" s="14" t="s">
        <v>27</v>
      </c>
      <c r="D17" s="12">
        <v>25</v>
      </c>
      <c r="E17" s="17">
        <v>655</v>
      </c>
      <c r="F17" s="9">
        <f t="shared" si="3"/>
        <v>16375</v>
      </c>
      <c r="G17" s="9">
        <f t="shared" si="4"/>
        <v>818.75</v>
      </c>
      <c r="H17" s="9">
        <f t="shared" si="1"/>
        <v>805.65</v>
      </c>
      <c r="I17" s="9">
        <f t="shared" si="5"/>
        <v>1364.0374999999999</v>
      </c>
      <c r="J17" s="9">
        <f>F17+G17+H17+I17</f>
        <v>19363.4375</v>
      </c>
      <c r="K17" s="9">
        <f>F17*12%</f>
        <v>1965</v>
      </c>
      <c r="L17" s="9">
        <f>0.75%*F17</f>
        <v>122.8125</v>
      </c>
      <c r="M17" s="16">
        <f t="shared" si="2"/>
        <v>17275.625</v>
      </c>
    </row>
    <row r="18" spans="1:13" ht="16">
      <c r="A18" s="8">
        <v>10</v>
      </c>
      <c r="B18" s="11" t="s">
        <v>31</v>
      </c>
      <c r="C18" s="14" t="s">
        <v>27</v>
      </c>
      <c r="D18" s="12">
        <v>18</v>
      </c>
      <c r="E18" s="17">
        <v>655</v>
      </c>
      <c r="F18" s="9">
        <f t="shared" si="3"/>
        <v>11790</v>
      </c>
      <c r="G18" s="9">
        <f t="shared" si="4"/>
        <v>589.5</v>
      </c>
      <c r="H18" s="9">
        <f t="shared" si="1"/>
        <v>580.06799999999998</v>
      </c>
      <c r="I18" s="9">
        <f t="shared" si="5"/>
        <v>982.10699999999997</v>
      </c>
      <c r="J18" s="9">
        <f>F18+G18+H18+I18</f>
        <v>13941.674999999999</v>
      </c>
      <c r="K18" s="9">
        <f>F18*12%</f>
        <v>1414.8</v>
      </c>
      <c r="L18" s="9">
        <f>0.75%*F18</f>
        <v>88.424999999999997</v>
      </c>
      <c r="M18" s="16">
        <f t="shared" si="2"/>
        <v>12438.45</v>
      </c>
    </row>
    <row r="19" spans="1:13" ht="16">
      <c r="A19" s="8">
        <v>11</v>
      </c>
      <c r="B19" s="11" t="s">
        <v>32</v>
      </c>
      <c r="C19" s="14" t="s">
        <v>27</v>
      </c>
      <c r="D19" s="12">
        <v>26</v>
      </c>
      <c r="E19" s="17">
        <v>655</v>
      </c>
      <c r="F19" s="9">
        <f t="shared" si="3"/>
        <v>17030</v>
      </c>
      <c r="G19" s="9">
        <f t="shared" si="4"/>
        <v>851.5</v>
      </c>
      <c r="H19" s="9">
        <f t="shared" si="1"/>
        <v>837.87599999999998</v>
      </c>
      <c r="I19" s="9">
        <f t="shared" si="5"/>
        <v>1418.5989999999999</v>
      </c>
      <c r="J19" s="9">
        <f>F19+G19+H19+I19</f>
        <v>20137.974999999999</v>
      </c>
      <c r="K19" s="9">
        <f>F19*12%</f>
        <v>2043.6</v>
      </c>
      <c r="L19" s="9">
        <f>0.75%*F19</f>
        <v>127.72499999999999</v>
      </c>
      <c r="M19" s="16">
        <f t="shared" si="2"/>
        <v>17966.650000000001</v>
      </c>
    </row>
    <row r="20" spans="1:13" ht="16">
      <c r="A20" s="8">
        <v>12</v>
      </c>
      <c r="B20" s="11" t="s">
        <v>36</v>
      </c>
      <c r="C20" s="14" t="s">
        <v>11</v>
      </c>
      <c r="D20" s="12">
        <v>15</v>
      </c>
      <c r="E20" s="17">
        <v>868</v>
      </c>
      <c r="F20" s="9">
        <f t="shared" si="3"/>
        <v>13020</v>
      </c>
      <c r="G20" s="9">
        <f t="shared" si="4"/>
        <v>651</v>
      </c>
      <c r="H20" s="9">
        <f t="shared" si="1"/>
        <v>640.58400000000006</v>
      </c>
      <c r="I20" s="9">
        <f t="shared" si="5"/>
        <v>1084.566</v>
      </c>
      <c r="J20" s="9">
        <f>F20+G20+H20+I20</f>
        <v>15396.150000000001</v>
      </c>
      <c r="K20" s="9">
        <f>F20*12%</f>
        <v>1562.3999999999999</v>
      </c>
      <c r="L20" s="9">
        <f>0.75%*F20</f>
        <v>97.649999999999991</v>
      </c>
      <c r="M20" s="16">
        <f t="shared" si="2"/>
        <v>13736.100000000002</v>
      </c>
    </row>
    <row r="21" spans="1:13" ht="16">
      <c r="A21" s="8">
        <v>13</v>
      </c>
      <c r="B21" s="11" t="s">
        <v>33</v>
      </c>
      <c r="C21" s="14" t="s">
        <v>11</v>
      </c>
      <c r="D21" s="12">
        <v>10</v>
      </c>
      <c r="E21" s="17">
        <v>868</v>
      </c>
      <c r="F21" s="9">
        <f t="shared" si="3"/>
        <v>8680</v>
      </c>
      <c r="G21" s="9">
        <f t="shared" si="4"/>
        <v>434</v>
      </c>
      <c r="H21" s="9">
        <f t="shared" si="1"/>
        <v>427.05599999999998</v>
      </c>
      <c r="I21" s="9">
        <f t="shared" si="5"/>
        <v>723.04399999999998</v>
      </c>
      <c r="J21" s="9">
        <f>F21+G21+H21+I21</f>
        <v>10264.1</v>
      </c>
      <c r="K21" s="9">
        <f>F21*12%</f>
        <v>1041.5999999999999</v>
      </c>
      <c r="L21" s="9">
        <f>0.75%*F21</f>
        <v>65.099999999999994</v>
      </c>
      <c r="M21" s="16">
        <f t="shared" si="2"/>
        <v>9157.4</v>
      </c>
    </row>
    <row r="22" spans="1:13" ht="16">
      <c r="A22" s="8">
        <v>14</v>
      </c>
      <c r="B22" s="11" t="s">
        <v>34</v>
      </c>
      <c r="C22" s="14" t="s">
        <v>11</v>
      </c>
      <c r="D22" s="12">
        <v>8</v>
      </c>
      <c r="E22" s="17">
        <v>868</v>
      </c>
      <c r="F22" s="9">
        <f t="shared" si="3"/>
        <v>6944</v>
      </c>
      <c r="G22" s="9">
        <f t="shared" si="4"/>
        <v>347.20000000000005</v>
      </c>
      <c r="H22" s="9">
        <f t="shared" si="1"/>
        <v>341.64480000000003</v>
      </c>
      <c r="I22" s="9">
        <f t="shared" si="5"/>
        <v>578.43520000000001</v>
      </c>
      <c r="J22" s="9">
        <f>F22+G22+H22+I22</f>
        <v>8211.2800000000007</v>
      </c>
      <c r="K22" s="9">
        <f>F22*12%</f>
        <v>833.28</v>
      </c>
      <c r="L22" s="9">
        <f>0.75%*F22</f>
        <v>52.08</v>
      </c>
      <c r="M22" s="16">
        <f t="shared" si="2"/>
        <v>7325.920000000001</v>
      </c>
    </row>
    <row r="23" spans="1:13">
      <c r="M23" s="13"/>
    </row>
  </sheetData>
  <mergeCells count="7">
    <mergeCell ref="A7:M7"/>
    <mergeCell ref="A1:M1"/>
    <mergeCell ref="A2:M2"/>
    <mergeCell ref="A3:M3"/>
    <mergeCell ref="A4:M4"/>
    <mergeCell ref="A5:M5"/>
    <mergeCell ref="A6:M6"/>
  </mergeCells>
  <phoneticPr fontId="13" type="noConversion"/>
  <pageMargins left="0.7" right="0.7" top="0.75" bottom="0.75" header="0.3" footer="0.3"/>
  <pageSetup paperSize="9" scale="93" fitToHeight="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NOV2024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2025-04-30T12:59:25Z</cp:lastPrinted>
  <dcterms:created xsi:type="dcterms:W3CDTF">2015-06-05T18:17:20Z</dcterms:created>
  <dcterms:modified xsi:type="dcterms:W3CDTF">2025-04-30T12:59:27Z</dcterms:modified>
</cp:coreProperties>
</file>